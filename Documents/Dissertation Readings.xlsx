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ArchVR\Documents\"/>
    </mc:Choice>
  </mc:AlternateContent>
  <xr:revisionPtr revIDLastSave="0" documentId="13_ncr:1_{333A7BC7-D215-4D36-A304-782E6F7EB565}" xr6:coauthVersionLast="47" xr6:coauthVersionMax="47" xr10:uidLastSave="{00000000-0000-0000-0000-000000000000}"/>
  <bookViews>
    <workbookView xWindow="-108" yWindow="-108" windowWidth="23256" windowHeight="13176" xr2:uid="{23769A02-F8E7-4B96-89C2-1FAAFC8F8E1E}"/>
  </bookViews>
  <sheets>
    <sheet name="Sheet1" sheetId="3" r:id="rId1"/>
    <sheet name="Sheet2" sheetId="2" r:id="rId2"/>
    <sheet name="Gantt" sheetId="4" r:id="rId3"/>
  </sheets>
  <definedNames>
    <definedName name="_xlnm._FilterDatabase" localSheetId="2" hidden="1">Gantt!$A$3:$C$18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17" i="4"/>
  <c r="D18" i="4"/>
  <c r="C21" i="4"/>
  <c r="B21" i="4"/>
  <c r="C20" i="4"/>
  <c r="B20" i="4"/>
  <c r="C19" i="4"/>
  <c r="B19" i="4"/>
  <c r="D5" i="4"/>
  <c r="D6" i="4"/>
  <c r="D7" i="4"/>
  <c r="D8" i="4"/>
  <c r="D9" i="4"/>
  <c r="D10" i="4"/>
  <c r="D11" i="4"/>
  <c r="D12" i="4"/>
  <c r="D13" i="4"/>
  <c r="D14" i="4"/>
  <c r="D15" i="4"/>
  <c r="D16" i="4"/>
  <c r="D4" i="4"/>
  <c r="D18" i="3"/>
  <c r="D17" i="3"/>
  <c r="D24" i="3"/>
  <c r="D23" i="3"/>
  <c r="D22" i="3"/>
  <c r="D14" i="3"/>
  <c r="D15" i="3"/>
  <c r="D10" i="3"/>
  <c r="D12" i="3"/>
  <c r="D11" i="3"/>
  <c r="D20" i="3"/>
  <c r="D8" i="3"/>
  <c r="D7" i="3"/>
  <c r="D4" i="3"/>
  <c r="D5" i="3"/>
  <c r="D2" i="3"/>
  <c r="D1" i="3"/>
</calcChain>
</file>

<file path=xl/sharedStrings.xml><?xml version="1.0" encoding="utf-8"?>
<sst xmlns="http://schemas.openxmlformats.org/spreadsheetml/2006/main" count="132" uniqueCount="115">
  <si>
    <t xml:space="preserve">Database Model Visualization in Virtual Reality: A WebVR and Benediktine Space Approach </t>
  </si>
  <si>
    <t xml:space="preserve"> Oberhauser </t>
  </si>
  <si>
    <t xml:space="preserve"> https://scholar.google.com/scholar?q=Database+Model+Visualization+in+Virtual+Reality+Oberhauser</t>
  </si>
  <si>
    <t xml:space="preserve">Exploring WebVR and Native VR Concepts </t>
  </si>
  <si>
    <t xml:space="preserve"> https://scholar.google.com/scholar?q=Exploring+WebVR+and+Native+VR+Concepts+Oberhauser</t>
  </si>
  <si>
    <t xml:space="preserve">Enhancing Academic Learning through AR/VR: A 3D Visualization Approach for DBMS </t>
  </si>
  <si>
    <t xml:space="preserve"> Kewat et al. </t>
  </si>
  <si>
    <t xml:space="preserve"> https://scholar.google.com/scholar?q=Enhancing+Academic+Learning+through+AR+VR+A+3D+Visualization+Approach+for+DBMS</t>
  </si>
  <si>
    <t xml:space="preserve">Visualization and Exploration of Linked Data using Virtual Reality </t>
  </si>
  <si>
    <t xml:space="preserve"> Kellmann et al. </t>
  </si>
  <si>
    <t xml:space="preserve"> https://scholar.google.com/scholar?q=Visualization+and+Exploration+of+Linked+Data+Using+Virtual+Reality</t>
  </si>
  <si>
    <t xml:space="preserve">Integration of Virtual Reality and Database System Techniques </t>
  </si>
  <si>
    <t xml:space="preserve"> Bertino et al. </t>
  </si>
  <si>
    <t xml:space="preserve"> https://scholar.google.com/scholar?q=Integration+of+Virtual+Reality+and+Database+System+Techniques+Bertino</t>
  </si>
  <si>
    <t xml:space="preserve">Data Visceralization: Enabling Deeper Understanding of Data Using Virtual Reality </t>
  </si>
  <si>
    <t xml:space="preserve"> Lee et al. </t>
  </si>
  <si>
    <t xml:space="preserve"> https://scholar.google.com/scholar?q=Data+Visceralization+Lee+2020</t>
  </si>
  <si>
    <t xml:space="preserve">Adaptive Games-Based Learning to Teach SQL </t>
  </si>
  <si>
    <t xml:space="preserve"> Soflano, Connolly &amp; Hainey </t>
  </si>
  <si>
    <t xml:space="preserve"> https://scholar.google.com/scholar?q=Adaptive+Games+Based+Learning+to+Teach+SQL+Soflano</t>
  </si>
  <si>
    <t xml:space="preserve">SQLator: An Online SQL Learning Workbench </t>
  </si>
  <si>
    <t xml:space="preserve"> https://scholar.google.com/scholar?q=SQLator+Sadiq</t>
  </si>
  <si>
    <t xml:space="preserve">Visualization in Virtual Reality: A Systematic Review </t>
  </si>
  <si>
    <t xml:space="preserve"> Korkut &amp; Surer </t>
  </si>
  <si>
    <t xml:space="preserve"> https://scholar.google.com/scholar?q=Visualization+in+Virtual+Reality+A+Systematic+Review+Korkut</t>
  </si>
  <si>
    <t xml:space="preserve"> https://scholar.google.com/scholar?q=Data+Visualization+Using+Augmented+Reality+for+Education+Ekanayake</t>
  </si>
  <si>
    <t xml:space="preserve">Experiential Learning VR System for Studying Computer Architecture </t>
  </si>
  <si>
    <t xml:space="preserve"> Dascalu et al. </t>
  </si>
  <si>
    <t xml:space="preserve"> https://scholar.google.com/scholar?q=Experiential+Learning+VR+System+for+Studying+Computer+Architecture+Dascalu</t>
  </si>
  <si>
    <t xml:space="preserve">VR Serious Game for Learning the Computer Organisation and Architecture Subject </t>
  </si>
  <si>
    <t xml:space="preserve"> Tan et al. </t>
  </si>
  <si>
    <t xml:space="preserve"> https://scholar.google.com/scholar?q=VR+Serious+Game+for+Learning+the+Computer+Organisation+and+Architecture+Subject</t>
  </si>
  <si>
    <t xml:space="preserve">Application of Virtual Reality in Computer Science Education: A Systematic Review </t>
  </si>
  <si>
    <t xml:space="preserve"> Agbo et al. </t>
  </si>
  <si>
    <t xml:space="preserve"> https://scholar.google.com/scholar?q=Application+of+Virtual+Reality+in+Computer+Science+Education+Agbo</t>
  </si>
  <si>
    <t xml:space="preserve">The Potential of Virtual Reality for Computer Science Education </t>
  </si>
  <si>
    <t xml:space="preserve"> Pirker </t>
  </si>
  <si>
    <t xml:space="preserve"> https://scholar.google.com/scholar?q=The+Potential+of+Virtual+Reality+for+Computer+Science+Education+Pirker</t>
  </si>
  <si>
    <t xml:space="preserve">Improving Learning Computer Architecture Through an Educational Mobile Game </t>
  </si>
  <si>
    <t xml:space="preserve"> Tlili et al. </t>
  </si>
  <si>
    <t xml:space="preserve"> https://scholar.google.com/scholar?q=Improving+Learning+Computer+Architecture+Through+an+Educational+Mobile+Game+Tlili</t>
  </si>
  <si>
    <t xml:space="preserve">Comparative Assessment of Technology Acceptance and Learning Outcomes in Computer-based vs VR Pedagogical Agents </t>
  </si>
  <si>
    <t xml:space="preserve"> Hadjiliasi et al. </t>
  </si>
  <si>
    <t xml:space="preserve"> https://scholar.google.com/scholar?q=Comparative+Assessment+of+Technology+Acceptance+and+Learning+Outcomes+in+Computer+based+versus+VR+Pedagogical+Agents</t>
  </si>
  <si>
    <t xml:space="preserve">Simulation-Based Learning in Virtual Reality: Va.Si.Li-Lab Use Cases </t>
  </si>
  <si>
    <t xml:space="preserve"> Bagci et al. </t>
  </si>
  <si>
    <t xml:space="preserve"> https://scholar.google.com/scholar?q=Simulation+Based+Learning+in+Virtual+Reality+Va.Si.Li-Lab+Bagci</t>
  </si>
  <si>
    <t xml:space="preserve">Distributed On-Sensor Compute System for AR/VR Devices: Power Estimation Framework </t>
  </si>
  <si>
    <t xml:space="preserve"> Gomez et al. </t>
  </si>
  <si>
    <t xml:space="preserve"> https://scholar.google.com/scholar?q=Distributed+On-Sensor+Compute+System+for+AR+VR+Devices+Gomez</t>
  </si>
  <si>
    <t xml:space="preserve">Virtual Reality in Education: Global Trends, Challenges and Advances </t>
  </si>
  <si>
    <t xml:space="preserve"> Samala et al. </t>
  </si>
  <si>
    <t xml:space="preserve"> https://scholar.google.com/scholar?q=Virtual+Reality+in+Education+Global+Trends+Challenges+and+Advances+Samala</t>
  </si>
  <si>
    <t xml:space="preserve">Challenges and Strategies for Educational Virtual Reality </t>
  </si>
  <si>
    <t xml:space="preserve"> Cook </t>
  </si>
  <si>
    <t xml:space="preserve"> https://scholar.google.com/scholar?q=Challenges+and+Strategies+for+Educational+Virtual+Reality+Cook</t>
  </si>
  <si>
    <t xml:space="preserve">Database Model Visualization in Virtual Reality </t>
  </si>
  <si>
    <t xml:space="preserve"> https://scholar.google.com/scholar?q="virtual+reality"+AND+("database+model"+OR+"ER+diagram")+AND+visualization+AND+education </t>
  </si>
  <si>
    <t xml:space="preserve"> https://scholar.google.com/scholar?q="WebVR"+OR+"native+VR"+AND+performance+AND+("education"+OR+"interaction+design") </t>
  </si>
  <si>
    <t xml:space="preserve"> https://scholar.google.com/scholar?q="virtual+reality"+OR+"augmented+reality"+AND+("database+learning"+OR+"SQL+education")+AND+visualization </t>
  </si>
  <si>
    <t xml:space="preserve"> https://scholar.google.com/scholar?q="linked+data"+OR+"semantic+web"+AND+("virtual+reality"+OR+"3D+visualization")+AND+interaction </t>
  </si>
  <si>
    <t xml:space="preserve"> https://scholar.google.com/scholar?q="virtual+reality"+AND+database+AND+integration+OR+"data+management"+AND+architecture </t>
  </si>
  <si>
    <t xml:space="preserve"> https://scholar.google.com/scholar?q="data+visualization"+AND+("virtual+reality"+OR+immersive)+AND+learning+OR+comprehension </t>
  </si>
  <si>
    <t xml:space="preserve"> https://scholar.google.com/scholar?q="adaptive+learning"+AND+("SQL"+OR+"database")+AND+game+OR+gamified+system </t>
  </si>
  <si>
    <t xml:space="preserve"> https://scholar.google.com/scholar?q="SQL+learning"+OR+"query+tutor"+AND+("feedback"+OR+"assessment+system") </t>
  </si>
  <si>
    <t xml:space="preserve"> https://scholar.google.com/scholar?q="virtual+reality"+AND+visualization+AND+("review"+OR+"survey") </t>
  </si>
  <si>
    <t xml:space="preserve">Data Visualization Using Augmented Reality for Education </t>
  </si>
  <si>
    <t xml:space="preserve"> https://scholar.google.com/scholar?q="augmented+reality"+OR+"virtual+reality"+AND+("data+visualization"+OR+"education") </t>
  </si>
  <si>
    <t xml:space="preserve"> https://scholar.google.com/scholar?q="virtual+reality"+AND+("computer+architecture"+OR+"CPU+simulation")+AND+learning+OR+education </t>
  </si>
  <si>
    <t xml:space="preserve"> https://scholar.google.com/scholar?q="virtual+reality"+AND+("serious+game"+OR+"educational+game")+AND+"computer+architecture" </t>
  </si>
  <si>
    <t xml:space="preserve"> https://scholar.google.com/scholar?q="virtual+reality"+AND+"computer+science+education"+AND+("systematic+review"+OR+"survey") </t>
  </si>
  <si>
    <t xml:space="preserve"> https://scholar.google.com/scholar?q="virtual+reality"+AND+"computer+science+education"+AND+"learning+outcomes" </t>
  </si>
  <si>
    <t xml:space="preserve"> https://scholar.google.com/scholar?q="mobile+learning"+OR+"educational+game"+AND+"computer+architecture"+OR+"organization" </t>
  </si>
  <si>
    <t xml:space="preserve"> https://scholar.google.com/scholar?q="pedagogical+agents"+AND+"virtual+reality"+AND+("user+experience"+OR+"learning+outcomes") </t>
  </si>
  <si>
    <t xml:space="preserve"> https://scholar.google.com/scholar?q="simulation-based+learning"+AND+"virtual+reality"+AND+("education"+OR+"training") </t>
  </si>
  <si>
    <t xml:space="preserve">Distributed On-Sensor Compute System for AR/VR Devices </t>
  </si>
  <si>
    <t xml:space="preserve"> https://scholar.google.com/scholar?q="AR"+OR+"VR"+AND+("system+architecture"+OR+"compute+framework")+AND+performance+OR+latency </t>
  </si>
  <si>
    <t xml:space="preserve"> https://scholar.google.com/scholar?q="virtual+reality"+AND+education+AND+("trends"+OR+"bibliometric"+OR+"review") </t>
  </si>
  <si>
    <t xml:space="preserve"> https://scholar.google.com/scholar?q="virtual+reality"+AND+education+AND+("challenges"+OR+"strategies"+OR+"implementation") </t>
  </si>
  <si>
    <t>Tasks</t>
  </si>
  <si>
    <t>Topic Exploration</t>
  </si>
  <si>
    <t>Research Area Refinement</t>
  </si>
  <si>
    <t>Additional Literature Reading</t>
  </si>
  <si>
    <t>Initial Literature Reading</t>
  </si>
  <si>
    <t>Research Question Formulation</t>
  </si>
  <si>
    <t>Research Question Finalization</t>
  </si>
  <si>
    <t>Conceptual Design</t>
  </si>
  <si>
    <t>Technical Prototyping</t>
  </si>
  <si>
    <t>Evalutation Planning</t>
  </si>
  <si>
    <t>Ethics Approval</t>
  </si>
  <si>
    <t>System Implementation</t>
  </si>
  <si>
    <t>Evaluation Study</t>
  </si>
  <si>
    <t>Data Analysis</t>
  </si>
  <si>
    <t>Dissertation Writing</t>
  </si>
  <si>
    <t>Final Submission</t>
  </si>
  <si>
    <t>Duration</t>
  </si>
  <si>
    <t>Start Date</t>
  </si>
  <si>
    <t>Milestones</t>
  </si>
  <si>
    <t>Date</t>
  </si>
  <si>
    <t>Semester 1 Start</t>
  </si>
  <si>
    <t>Semester 2 Start</t>
  </si>
  <si>
    <t>Research Period Start</t>
  </si>
  <si>
    <t>Semester 1 End</t>
  </si>
  <si>
    <t>Semester 2 End</t>
  </si>
  <si>
    <t>Research Period End</t>
  </si>
  <si>
    <t>Start Offset</t>
  </si>
  <si>
    <t>Semester 1</t>
  </si>
  <si>
    <t>Semester 2</t>
  </si>
  <si>
    <t>Research</t>
  </si>
  <si>
    <t>VR environment of digital design laboratory: a usability study</t>
  </si>
  <si>
    <t xml:space="preserve">Alnuaimi MA and Awad M </t>
  </si>
  <si>
    <t>Open Link</t>
  </si>
  <si>
    <t>https://doi.org/10.1016/j.cexr.2026.100159</t>
  </si>
  <si>
    <t>Azin S. Janani et al</t>
  </si>
  <si>
    <t>Virtual reality applications in computer science education: scoping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</si>
</sst>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1" fillId="0" borderId="0" xfId="1" applyNumberFormat="1"/>
    <xf numFmtId="0" fontId="0" fillId="2" borderId="0" xfId="0" applyFill="1"/>
    <xf numFmtId="0" fontId="1" fillId="2" borderId="0" xfId="1" applyNumberFormat="1" applyFill="1"/>
    <xf numFmtId="0" fontId="0" fillId="3" borderId="0" xfId="0" applyFill="1"/>
    <xf numFmtId="0" fontId="1" fillId="3" borderId="0" xfId="1" applyNumberFormat="1" applyFill="1"/>
    <xf numFmtId="0" fontId="0" fillId="4" borderId="0" xfId="0" applyFill="1"/>
    <xf numFmtId="0" fontId="1" fillId="4" borderId="0" xfId="1" applyNumberFormat="1" applyFill="1"/>
    <xf numFmtId="164" fontId="0" fillId="0" borderId="0" xfId="0" applyNumberFormat="1"/>
    <xf numFmtId="0" fontId="3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 Chart of Research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Gantt!$D$3</c:f>
              <c:strCache>
                <c:ptCount val="1"/>
                <c:pt idx="0">
                  <c:v>Start Offset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Gantt!$A$4:$A$21</c:f>
              <c:strCache>
                <c:ptCount val="18"/>
                <c:pt idx="0">
                  <c:v>Topic Exploration</c:v>
                </c:pt>
                <c:pt idx="1">
                  <c:v>Initial Literature Reading</c:v>
                </c:pt>
                <c:pt idx="2">
                  <c:v>Research Area Refinement</c:v>
                </c:pt>
                <c:pt idx="3">
                  <c:v>Additional Literature Reading</c:v>
                </c:pt>
                <c:pt idx="4">
                  <c:v>Research Question Formulation</c:v>
                </c:pt>
                <c:pt idx="5">
                  <c:v>Research Question Finalization</c:v>
                </c:pt>
                <c:pt idx="6">
                  <c:v>Conceptual Design</c:v>
                </c:pt>
                <c:pt idx="7">
                  <c:v>Technical Prototyping</c:v>
                </c:pt>
                <c:pt idx="8">
                  <c:v>Evalutation Planning</c:v>
                </c:pt>
                <c:pt idx="9">
                  <c:v>Ethics Approval</c:v>
                </c:pt>
                <c:pt idx="10">
                  <c:v>System Implementation</c:v>
                </c:pt>
                <c:pt idx="11">
                  <c:v>Evaluation Study</c:v>
                </c:pt>
                <c:pt idx="12">
                  <c:v>Data Analysis</c:v>
                </c:pt>
                <c:pt idx="13">
                  <c:v>Dissertation Writing</c:v>
                </c:pt>
                <c:pt idx="14">
                  <c:v>Final Submission</c:v>
                </c:pt>
                <c:pt idx="15">
                  <c:v>Semester 1</c:v>
                </c:pt>
                <c:pt idx="16">
                  <c:v>Semester 2</c:v>
                </c:pt>
                <c:pt idx="17">
                  <c:v>Research</c:v>
                </c:pt>
              </c:strCache>
            </c:strRef>
          </c:cat>
          <c:val>
            <c:numRef>
              <c:f>Gantt!$D$4:$D$21</c:f>
              <c:numCache>
                <c:formatCode>General</c:formatCode>
                <c:ptCount val="18"/>
                <c:pt idx="0">
                  <c:v>0</c:v>
                </c:pt>
                <c:pt idx="1">
                  <c:v>12</c:v>
                </c:pt>
                <c:pt idx="2">
                  <c:v>53</c:v>
                </c:pt>
                <c:pt idx="3">
                  <c:v>81</c:v>
                </c:pt>
                <c:pt idx="4">
                  <c:v>87</c:v>
                </c:pt>
                <c:pt idx="5">
                  <c:v>114</c:v>
                </c:pt>
                <c:pt idx="6">
                  <c:v>122</c:v>
                </c:pt>
                <c:pt idx="7">
                  <c:v>164</c:v>
                </c:pt>
                <c:pt idx="8">
                  <c:v>164</c:v>
                </c:pt>
                <c:pt idx="9">
                  <c:v>194</c:v>
                </c:pt>
                <c:pt idx="10">
                  <c:v>248</c:v>
                </c:pt>
                <c:pt idx="11">
                  <c:v>285</c:v>
                </c:pt>
                <c:pt idx="12">
                  <c:v>316</c:v>
                </c:pt>
                <c:pt idx="13">
                  <c:v>164</c:v>
                </c:pt>
                <c:pt idx="14">
                  <c:v>332</c:v>
                </c:pt>
                <c:pt idx="15">
                  <c:v>0</c:v>
                </c:pt>
                <c:pt idx="16">
                  <c:v>126</c:v>
                </c:pt>
                <c:pt idx="17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7-4636-9F55-B4D4B61943CB}"/>
            </c:ext>
          </c:extLst>
        </c:ser>
        <c:ser>
          <c:idx val="0"/>
          <c:order val="1"/>
          <c:tx>
            <c:strRef>
              <c:f>Gantt!$C$3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D97-4636-9F55-B4D4B61943CB}"/>
              </c:ext>
            </c:extLst>
          </c:dPt>
          <c:dPt>
            <c:idx val="16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D97-4636-9F55-B4D4B61943CB}"/>
              </c:ext>
            </c:extLst>
          </c:dPt>
          <c:dPt>
            <c:idx val="17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D97-4636-9F55-B4D4B61943CB}"/>
              </c:ext>
            </c:extLst>
          </c:dPt>
          <c:cat>
            <c:strRef>
              <c:f>Gantt!$A$4:$A$21</c:f>
              <c:strCache>
                <c:ptCount val="18"/>
                <c:pt idx="0">
                  <c:v>Topic Exploration</c:v>
                </c:pt>
                <c:pt idx="1">
                  <c:v>Initial Literature Reading</c:v>
                </c:pt>
                <c:pt idx="2">
                  <c:v>Research Area Refinement</c:v>
                </c:pt>
                <c:pt idx="3">
                  <c:v>Additional Literature Reading</c:v>
                </c:pt>
                <c:pt idx="4">
                  <c:v>Research Question Formulation</c:v>
                </c:pt>
                <c:pt idx="5">
                  <c:v>Research Question Finalization</c:v>
                </c:pt>
                <c:pt idx="6">
                  <c:v>Conceptual Design</c:v>
                </c:pt>
                <c:pt idx="7">
                  <c:v>Technical Prototyping</c:v>
                </c:pt>
                <c:pt idx="8">
                  <c:v>Evalutation Planning</c:v>
                </c:pt>
                <c:pt idx="9">
                  <c:v>Ethics Approval</c:v>
                </c:pt>
                <c:pt idx="10">
                  <c:v>System Implementation</c:v>
                </c:pt>
                <c:pt idx="11">
                  <c:v>Evaluation Study</c:v>
                </c:pt>
                <c:pt idx="12">
                  <c:v>Data Analysis</c:v>
                </c:pt>
                <c:pt idx="13">
                  <c:v>Dissertation Writing</c:v>
                </c:pt>
                <c:pt idx="14">
                  <c:v>Final Submission</c:v>
                </c:pt>
                <c:pt idx="15">
                  <c:v>Semester 1</c:v>
                </c:pt>
                <c:pt idx="16">
                  <c:v>Semester 2</c:v>
                </c:pt>
                <c:pt idx="17">
                  <c:v>Research</c:v>
                </c:pt>
              </c:strCache>
            </c:strRef>
          </c:cat>
          <c:val>
            <c:numRef>
              <c:f>Gantt!$C$4:$C$21</c:f>
              <c:numCache>
                <c:formatCode>General</c:formatCode>
                <c:ptCount val="18"/>
                <c:pt idx="0">
                  <c:v>21</c:v>
                </c:pt>
                <c:pt idx="1">
                  <c:v>42</c:v>
                </c:pt>
                <c:pt idx="2">
                  <c:v>30</c:v>
                </c:pt>
                <c:pt idx="3">
                  <c:v>40</c:v>
                </c:pt>
                <c:pt idx="4">
                  <c:v>21</c:v>
                </c:pt>
                <c:pt idx="5">
                  <c:v>14</c:v>
                </c:pt>
                <c:pt idx="6">
                  <c:v>30</c:v>
                </c:pt>
                <c:pt idx="7">
                  <c:v>45</c:v>
                </c:pt>
                <c:pt idx="8">
                  <c:v>30</c:v>
                </c:pt>
                <c:pt idx="9">
                  <c:v>30</c:v>
                </c:pt>
                <c:pt idx="10">
                  <c:v>45</c:v>
                </c:pt>
                <c:pt idx="11">
                  <c:v>30</c:v>
                </c:pt>
                <c:pt idx="12">
                  <c:v>15</c:v>
                </c:pt>
                <c:pt idx="13">
                  <c:v>150</c:v>
                </c:pt>
                <c:pt idx="14">
                  <c:v>1</c:v>
                </c:pt>
                <c:pt idx="15">
                  <c:v>98</c:v>
                </c:pt>
                <c:pt idx="16">
                  <c:v>97</c:v>
                </c:pt>
                <c:pt idx="17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7-4636-9F55-B4D4B6194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4463151"/>
        <c:axId val="1184461711"/>
      </c:barChart>
      <c:catAx>
        <c:axId val="1184463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1711"/>
        <c:crosses val="autoZero"/>
        <c:auto val="1"/>
        <c:lblAlgn val="ctr"/>
        <c:lblOffset val="100"/>
        <c:noMultiLvlLbl val="0"/>
      </c:catAx>
      <c:valAx>
        <c:axId val="1184461711"/>
        <c:scaling>
          <c:orientation val="minMax"/>
          <c:max val="333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 yyyy" sourceLinked="0"/>
        <c:majorTickMark val="none"/>
        <c:minorTickMark val="none"/>
        <c:tickLblPos val="nextTo"/>
        <c:crossAx val="1184463151"/>
        <c:crosses val="autoZero"/>
        <c:crossBetween val="between"/>
        <c:majorUnit val="30"/>
        <c:min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152400</xdr:rowOff>
    </xdr:from>
    <xdr:to>
      <xdr:col>14</xdr:col>
      <xdr:colOff>7620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51AAF-FD5C-A972-9566-B5F8A7170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0.20909</cdr:x>
      <cdr:y>0.07957</cdr:y>
    </cdr:from>
    <cdr:to>
      <cdr:x>1</cdr:x>
      <cdr:y>0.12116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D953AA-5FEC-B155-989D-31F6FCAEBFB3}"/>
            </a:ext>
          </a:extLst>
        </cdr:cNvPr>
        <cdr:cNvSpPr txBox="1"/>
      </cdr:nvSpPr>
      <cdr:spPr>
        <a:xfrm xmlns:a="http://schemas.openxmlformats.org/drawingml/2006/main">
          <a:off x="1402080" y="335280"/>
          <a:ext cx="5303520" cy="175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500" kern="1200"/>
            <a:t>Sep | Oct| Nov | Dec | Jan | Feb | Mar | Apr | May | Jun | Jul | Aug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cexr.2026.100159" TargetMode="External"/><Relationship Id="rId1" Type="http://schemas.openxmlformats.org/officeDocument/2006/relationships/hyperlink" Target="https://www.frontiersin.org/journals/virtual-reality/articles/10.3389/frvir.2025.1566680/fu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CD6E-D3AB-4E2F-B7A5-C90489B4F4C1}">
  <dimension ref="A1:D27"/>
  <sheetViews>
    <sheetView tabSelected="1" workbookViewId="0">
      <selection activeCell="A27" sqref="A27"/>
    </sheetView>
  </sheetViews>
  <sheetFormatPr defaultRowHeight="14.4" x14ac:dyDescent="0.3"/>
  <cols>
    <col min="1" max="1" width="100.6640625" bestFit="1" customWidth="1"/>
    <col min="2" max="2" width="23.21875" bestFit="1" customWidth="1"/>
    <col min="3" max="3" width="5" bestFit="1" customWidth="1"/>
    <col min="4" max="4" width="8.88671875" style="1" bestFit="1" customWidth="1"/>
  </cols>
  <sheetData>
    <row r="1" spans="1:4" x14ac:dyDescent="0.3">
      <c r="A1" s="7" t="s">
        <v>0</v>
      </c>
      <c r="B1" s="7" t="s">
        <v>1</v>
      </c>
      <c r="C1" s="7">
        <v>2018</v>
      </c>
      <c r="D1" s="8" t="str">
        <f>HYPERLINK("https://www.hs-aalen.de/uploads/publication/file/9898/icsea_2018_5_40_10106.pdf","Open Link")</f>
        <v>Open Link</v>
      </c>
    </row>
    <row r="2" spans="1:4" x14ac:dyDescent="0.3">
      <c r="A2" t="s">
        <v>3</v>
      </c>
      <c r="B2" t="s">
        <v>1</v>
      </c>
      <c r="C2">
        <v>2019</v>
      </c>
      <c r="D2" s="2" t="str">
        <f>HYPERLINK("https://personales.upv.es/thinkmind/dl/journals/soft/soft_v12_n34_2019/soft_v12_n34_2019_2.pdf","Open Link")</f>
        <v>Open Link</v>
      </c>
    </row>
    <row r="3" spans="1:4" x14ac:dyDescent="0.3">
      <c r="A3" s="7" t="s">
        <v>14</v>
      </c>
      <c r="B3" s="7" t="s">
        <v>15</v>
      </c>
      <c r="C3" s="7">
        <v>2020</v>
      </c>
      <c r="D3" s="8" t="str">
        <f>HYPERLINK("https://arxiv.org/abs/2009.00059","Open Link")</f>
        <v>Open Link</v>
      </c>
    </row>
    <row r="4" spans="1:4" x14ac:dyDescent="0.3">
      <c r="A4" s="7" t="s">
        <v>8</v>
      </c>
      <c r="B4" s="7" t="s">
        <v>9</v>
      </c>
      <c r="C4" s="7">
        <v>2024</v>
      </c>
      <c r="D4" s="8" t="str">
        <f>HYPERLINK("https://academic.oup.com/database/article/doi/10.1093/database/baae008/7613396","Open Link")</f>
        <v>Open Link</v>
      </c>
    </row>
    <row r="5" spans="1:4" x14ac:dyDescent="0.3">
      <c r="A5" s="3" t="s">
        <v>11</v>
      </c>
      <c r="B5" s="3" t="s">
        <v>12</v>
      </c>
      <c r="C5" s="3">
        <v>2005</v>
      </c>
      <c r="D5" s="4" t="str">
        <f>HYPERLINK("https://scispace.com/pdf/integration-of-virtual-reality-and-database-systems-for-1mnr83x8gc.pdf","Open Link")</f>
        <v>Open Link</v>
      </c>
    </row>
    <row r="7" spans="1:4" x14ac:dyDescent="0.3">
      <c r="A7" s="3" t="s">
        <v>5</v>
      </c>
      <c r="B7" s="3" t="s">
        <v>6</v>
      </c>
      <c r="C7" s="3">
        <v>2024</v>
      </c>
      <c r="D7" s="4" t="str">
        <f>HYPERLINK("https://ijirt.org/publishedpaper/IJIRT169856_PAPER.pdf","Open Link")</f>
        <v>Open Link</v>
      </c>
    </row>
    <row r="8" spans="1:4" x14ac:dyDescent="0.3">
      <c r="A8" s="7" t="s">
        <v>17</v>
      </c>
      <c r="B8" s="7" t="s">
        <v>18</v>
      </c>
      <c r="C8" s="7">
        <v>2015</v>
      </c>
      <c r="D8" s="8" t="str">
        <f>HYPERLINK("https://www.sciencedirect.com/science/article/abs/pii/S0360131515000937","Open Link")</f>
        <v>Open Link</v>
      </c>
    </row>
    <row r="10" spans="1:4" x14ac:dyDescent="0.3">
      <c r="A10" s="7" t="s">
        <v>38</v>
      </c>
      <c r="B10" s="7" t="s">
        <v>39</v>
      </c>
      <c r="C10" s="7">
        <v>2016</v>
      </c>
      <c r="D10" s="8" t="str">
        <f>HYPERLINK("https://slejournal.springeropen.com/articles/10.1186/s40561-016-0030-6","Open Link")</f>
        <v>Open Link</v>
      </c>
    </row>
    <row r="11" spans="1:4" x14ac:dyDescent="0.3">
      <c r="A11" s="7" t="s">
        <v>26</v>
      </c>
      <c r="B11" s="7" t="s">
        <v>27</v>
      </c>
      <c r="C11" s="7">
        <v>2017</v>
      </c>
      <c r="D11" s="8" t="str">
        <f>HYPERLINK("https://rochi.utcluj.ro/rrioc/articole/RRIOC-10-3-Dascalu.pdf","Open Link")</f>
        <v>Open Link</v>
      </c>
    </row>
    <row r="12" spans="1:4" x14ac:dyDescent="0.3">
      <c r="A12" s="7" t="s">
        <v>29</v>
      </c>
      <c r="B12" s="7" t="s">
        <v>30</v>
      </c>
      <c r="C12" s="7">
        <v>2024</v>
      </c>
      <c r="D12" s="8" t="str">
        <f>HYPERLINK("https://eprints.gla.ac.uk/305777/4/305777.pdf","Open Link")</f>
        <v>Open Link</v>
      </c>
    </row>
    <row r="14" spans="1:4" x14ac:dyDescent="0.3">
      <c r="A14" s="7" t="s">
        <v>35</v>
      </c>
      <c r="B14" s="7" t="s">
        <v>36</v>
      </c>
      <c r="C14" s="7">
        <v>2020</v>
      </c>
      <c r="D14" s="8" t="str">
        <f>HYPERLINK("https://jpirker.com/wp-content/uploads/2021/05/2020_IEEE_VR_post_SigCSE_CSE_Study.pdf","Open Link")</f>
        <v>Open Link</v>
      </c>
    </row>
    <row r="15" spans="1:4" x14ac:dyDescent="0.3">
      <c r="A15" s="3" t="s">
        <v>32</v>
      </c>
      <c r="B15" s="3" t="s">
        <v>33</v>
      </c>
      <c r="C15" s="3">
        <v>2021</v>
      </c>
      <c r="D15" s="4" t="str">
        <f>HYPERLINK("https://www.mdpi.com/2227-7102/11/3/142","Open Link")</f>
        <v>Open Link</v>
      </c>
    </row>
    <row r="17" spans="1:4" x14ac:dyDescent="0.3">
      <c r="A17" s="3" t="s">
        <v>50</v>
      </c>
      <c r="B17" s="3" t="s">
        <v>51</v>
      </c>
      <c r="C17" s="3">
        <v>2025</v>
      </c>
      <c r="D17" s="4" t="str">
        <f>HYPERLINK("https://link.springer.com/article/10.1007/s44217-025-00650-z","Open Link")</f>
        <v>Open Link</v>
      </c>
    </row>
    <row r="18" spans="1:4" x14ac:dyDescent="0.3">
      <c r="A18" s="3" t="s">
        <v>53</v>
      </c>
      <c r="B18" s="3" t="s">
        <v>54</v>
      </c>
      <c r="C18" s="3">
        <v>2019</v>
      </c>
      <c r="D18" s="4" t="str">
        <f>HYPERLINK("https://ital.corejournals.org/index.php/ital/article/view/11075","Open Link")</f>
        <v>Open Link</v>
      </c>
    </row>
    <row r="20" spans="1:4" x14ac:dyDescent="0.3">
      <c r="A20" s="3" t="s">
        <v>22</v>
      </c>
      <c r="B20" s="3" t="s">
        <v>23</v>
      </c>
      <c r="C20" s="3">
        <v>2022</v>
      </c>
      <c r="D20" s="4" t="str">
        <f>HYPERLINK("https://arxiv.org/pdf/2203.07616.pdf","Open Link")</f>
        <v>Open Link</v>
      </c>
    </row>
    <row r="22" spans="1:4" x14ac:dyDescent="0.3">
      <c r="A22" s="5" t="s">
        <v>41</v>
      </c>
      <c r="B22" s="5" t="s">
        <v>42</v>
      </c>
      <c r="C22" s="5">
        <v>2024</v>
      </c>
      <c r="D22" s="6" t="str">
        <f>HYPERLINK("https://arxiv.org/abs/2410.18048","Open Link")</f>
        <v>Open Link</v>
      </c>
    </row>
    <row r="23" spans="1:4" x14ac:dyDescent="0.3">
      <c r="A23" s="5" t="s">
        <v>44</v>
      </c>
      <c r="B23" s="5" t="s">
        <v>45</v>
      </c>
      <c r="C23" s="5">
        <v>2025</v>
      </c>
      <c r="D23" s="6" t="str">
        <f>HYPERLINK("https://link.springer.com/article/10.1007/s10758-025-09837-7","Open Link")</f>
        <v>Open Link</v>
      </c>
    </row>
    <row r="24" spans="1:4" x14ac:dyDescent="0.3">
      <c r="A24" s="5" t="s">
        <v>47</v>
      </c>
      <c r="B24" s="5" t="s">
        <v>48</v>
      </c>
      <c r="C24" s="5">
        <v>2022</v>
      </c>
      <c r="D24" s="6" t="str">
        <f>HYPERLINK("https://arxiv.org/abs/2203.07474","Open Link")</f>
        <v>Open Link</v>
      </c>
    </row>
    <row r="26" spans="1:4" x14ac:dyDescent="0.3">
      <c r="A26" t="s">
        <v>109</v>
      </c>
      <c r="B26" t="s">
        <v>110</v>
      </c>
      <c r="C26" s="10">
        <v>2025</v>
      </c>
      <c r="D26" s="2" t="s">
        <v>111</v>
      </c>
    </row>
    <row r="27" spans="1:4" x14ac:dyDescent="0.3">
      <c r="A27" t="s">
        <v>114</v>
      </c>
      <c r="B27" t="s">
        <v>113</v>
      </c>
      <c r="C27">
        <v>2026</v>
      </c>
      <c r="D27" s="2" t="s">
        <v>112</v>
      </c>
    </row>
  </sheetData>
  <hyperlinks>
    <hyperlink ref="D26" r:id="rId1" xr:uid="{0219E58E-C02C-4DD0-AD8C-BEE92AB76F6C}"/>
    <hyperlink ref="D27" r:id="rId2" xr:uid="{709F2790-1040-4A8E-8EA3-F821BA08C57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A895-615B-4468-B974-F142C6F194E0}">
  <dimension ref="A1:C20"/>
  <sheetViews>
    <sheetView workbookViewId="0">
      <selection activeCell="B3" sqref="B3"/>
    </sheetView>
  </sheetViews>
  <sheetFormatPr defaultRowHeight="14.4" x14ac:dyDescent="0.3"/>
  <cols>
    <col min="1" max="1" width="100.6640625" bestFit="1" customWidth="1"/>
    <col min="2" max="2" width="125.33203125" bestFit="1" customWidth="1"/>
    <col min="3" max="3" width="145.77734375" bestFit="1" customWidth="1"/>
  </cols>
  <sheetData>
    <row r="1" spans="1:3" x14ac:dyDescent="0.3">
      <c r="A1" t="s">
        <v>56</v>
      </c>
      <c r="B1" t="s">
        <v>57</v>
      </c>
      <c r="C1" t="s">
        <v>2</v>
      </c>
    </row>
    <row r="2" spans="1:3" x14ac:dyDescent="0.3">
      <c r="A2" t="s">
        <v>3</v>
      </c>
      <c r="B2" t="s">
        <v>58</v>
      </c>
      <c r="C2" t="s">
        <v>4</v>
      </c>
    </row>
    <row r="3" spans="1:3" x14ac:dyDescent="0.3">
      <c r="A3" t="s">
        <v>5</v>
      </c>
      <c r="B3" t="s">
        <v>59</v>
      </c>
      <c r="C3" t="s">
        <v>7</v>
      </c>
    </row>
    <row r="4" spans="1:3" x14ac:dyDescent="0.3">
      <c r="A4" t="s">
        <v>8</v>
      </c>
      <c r="B4" t="s">
        <v>60</v>
      </c>
      <c r="C4" t="s">
        <v>10</v>
      </c>
    </row>
    <row r="5" spans="1:3" x14ac:dyDescent="0.3">
      <c r="A5" t="s">
        <v>11</v>
      </c>
      <c r="B5" t="s">
        <v>61</v>
      </c>
      <c r="C5" t="s">
        <v>13</v>
      </c>
    </row>
    <row r="6" spans="1:3" x14ac:dyDescent="0.3">
      <c r="A6" t="s">
        <v>14</v>
      </c>
      <c r="B6" t="s">
        <v>62</v>
      </c>
      <c r="C6" t="s">
        <v>16</v>
      </c>
    </row>
    <row r="7" spans="1:3" x14ac:dyDescent="0.3">
      <c r="A7" t="s">
        <v>17</v>
      </c>
      <c r="B7" t="s">
        <v>63</v>
      </c>
      <c r="C7" t="s">
        <v>19</v>
      </c>
    </row>
    <row r="8" spans="1:3" x14ac:dyDescent="0.3">
      <c r="A8" t="s">
        <v>20</v>
      </c>
      <c r="B8" t="s">
        <v>64</v>
      </c>
      <c r="C8" t="s">
        <v>21</v>
      </c>
    </row>
    <row r="9" spans="1:3" x14ac:dyDescent="0.3">
      <c r="A9" t="s">
        <v>22</v>
      </c>
      <c r="B9" t="s">
        <v>65</v>
      </c>
      <c r="C9" t="s">
        <v>24</v>
      </c>
    </row>
    <row r="10" spans="1:3" x14ac:dyDescent="0.3">
      <c r="A10" t="s">
        <v>66</v>
      </c>
      <c r="B10" t="s">
        <v>67</v>
      </c>
      <c r="C10" t="s">
        <v>25</v>
      </c>
    </row>
    <row r="11" spans="1:3" x14ac:dyDescent="0.3">
      <c r="A11" t="s">
        <v>26</v>
      </c>
      <c r="B11" t="s">
        <v>68</v>
      </c>
      <c r="C11" t="s">
        <v>28</v>
      </c>
    </row>
    <row r="12" spans="1:3" x14ac:dyDescent="0.3">
      <c r="A12" t="s">
        <v>29</v>
      </c>
      <c r="B12" t="s">
        <v>69</v>
      </c>
      <c r="C12" t="s">
        <v>31</v>
      </c>
    </row>
    <row r="13" spans="1:3" x14ac:dyDescent="0.3">
      <c r="A13" t="s">
        <v>32</v>
      </c>
      <c r="B13" t="s">
        <v>70</v>
      </c>
      <c r="C13" t="s">
        <v>34</v>
      </c>
    </row>
    <row r="14" spans="1:3" x14ac:dyDescent="0.3">
      <c r="A14" t="s">
        <v>35</v>
      </c>
      <c r="B14" t="s">
        <v>71</v>
      </c>
      <c r="C14" t="s">
        <v>37</v>
      </c>
    </row>
    <row r="15" spans="1:3" x14ac:dyDescent="0.3">
      <c r="A15" t="s">
        <v>38</v>
      </c>
      <c r="B15" t="s">
        <v>72</v>
      </c>
      <c r="C15" t="s">
        <v>40</v>
      </c>
    </row>
    <row r="16" spans="1:3" x14ac:dyDescent="0.3">
      <c r="A16" t="s">
        <v>41</v>
      </c>
      <c r="B16" t="s">
        <v>73</v>
      </c>
      <c r="C16" t="s">
        <v>43</v>
      </c>
    </row>
    <row r="17" spans="1:3" x14ac:dyDescent="0.3">
      <c r="A17" t="s">
        <v>44</v>
      </c>
      <c r="B17" t="s">
        <v>74</v>
      </c>
      <c r="C17" t="s">
        <v>46</v>
      </c>
    </row>
    <row r="18" spans="1:3" x14ac:dyDescent="0.3">
      <c r="A18" t="s">
        <v>75</v>
      </c>
      <c r="B18" t="s">
        <v>76</v>
      </c>
      <c r="C18" t="s">
        <v>49</v>
      </c>
    </row>
    <row r="19" spans="1:3" x14ac:dyDescent="0.3">
      <c r="A19" t="s">
        <v>50</v>
      </c>
      <c r="B19" t="s">
        <v>77</v>
      </c>
      <c r="C19" t="s">
        <v>52</v>
      </c>
    </row>
    <row r="20" spans="1:3" x14ac:dyDescent="0.3">
      <c r="A20" t="s">
        <v>53</v>
      </c>
      <c r="B20" t="s">
        <v>78</v>
      </c>
      <c r="C20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6BBA-7517-48A7-9EEE-B374D4E8189B}">
  <dimension ref="A3:D42"/>
  <sheetViews>
    <sheetView workbookViewId="0">
      <selection activeCell="O2" sqref="O2"/>
    </sheetView>
  </sheetViews>
  <sheetFormatPr defaultRowHeight="14.4" x14ac:dyDescent="0.3"/>
  <cols>
    <col min="1" max="1" width="26.6640625" bestFit="1" customWidth="1"/>
    <col min="2" max="2" width="10.88671875" style="9" bestFit="1" customWidth="1"/>
  </cols>
  <sheetData>
    <row r="3" spans="1:4" x14ac:dyDescent="0.3">
      <c r="A3" t="s">
        <v>79</v>
      </c>
      <c r="B3" s="9" t="s">
        <v>96</v>
      </c>
      <c r="C3" t="s">
        <v>95</v>
      </c>
      <c r="D3" t="s">
        <v>105</v>
      </c>
    </row>
    <row r="4" spans="1:4" x14ac:dyDescent="0.3">
      <c r="A4" t="s">
        <v>80</v>
      </c>
      <c r="B4" s="9">
        <v>45919</v>
      </c>
      <c r="C4">
        <v>21</v>
      </c>
      <c r="D4">
        <f>B4 - MIN($B$4:$B$18)</f>
        <v>0</v>
      </c>
    </row>
    <row r="5" spans="1:4" x14ac:dyDescent="0.3">
      <c r="A5" t="s">
        <v>83</v>
      </c>
      <c r="B5" s="9">
        <v>45931</v>
      </c>
      <c r="C5">
        <v>42</v>
      </c>
      <c r="D5">
        <f t="shared" ref="D5:D18" si="0">B5 - MIN($B$4:$B$18)</f>
        <v>12</v>
      </c>
    </row>
    <row r="6" spans="1:4" x14ac:dyDescent="0.3">
      <c r="A6" t="s">
        <v>81</v>
      </c>
      <c r="B6" s="9">
        <v>45972</v>
      </c>
      <c r="C6">
        <v>30</v>
      </c>
      <c r="D6">
        <f t="shared" si="0"/>
        <v>53</v>
      </c>
    </row>
    <row r="7" spans="1:4" x14ac:dyDescent="0.3">
      <c r="A7" t="s">
        <v>82</v>
      </c>
      <c r="B7" s="9">
        <v>46000</v>
      </c>
      <c r="C7">
        <v>40</v>
      </c>
      <c r="D7">
        <f t="shared" si="0"/>
        <v>81</v>
      </c>
    </row>
    <row r="8" spans="1:4" x14ac:dyDescent="0.3">
      <c r="A8" t="s">
        <v>84</v>
      </c>
      <c r="B8" s="9">
        <v>46006</v>
      </c>
      <c r="C8">
        <v>21</v>
      </c>
      <c r="D8">
        <f t="shared" si="0"/>
        <v>87</v>
      </c>
    </row>
    <row r="9" spans="1:4" x14ac:dyDescent="0.3">
      <c r="A9" t="s">
        <v>85</v>
      </c>
      <c r="B9" s="9">
        <v>46033</v>
      </c>
      <c r="C9">
        <v>14</v>
      </c>
      <c r="D9">
        <f t="shared" si="0"/>
        <v>114</v>
      </c>
    </row>
    <row r="10" spans="1:4" x14ac:dyDescent="0.3">
      <c r="A10" t="s">
        <v>86</v>
      </c>
      <c r="B10" s="9">
        <v>46041</v>
      </c>
      <c r="C10">
        <v>30</v>
      </c>
      <c r="D10">
        <f t="shared" si="0"/>
        <v>122</v>
      </c>
    </row>
    <row r="11" spans="1:4" x14ac:dyDescent="0.3">
      <c r="A11" t="s">
        <v>87</v>
      </c>
      <c r="B11" s="9">
        <v>46083</v>
      </c>
      <c r="C11">
        <v>45</v>
      </c>
      <c r="D11">
        <f t="shared" si="0"/>
        <v>164</v>
      </c>
    </row>
    <row r="12" spans="1:4" x14ac:dyDescent="0.3">
      <c r="A12" t="s">
        <v>88</v>
      </c>
      <c r="B12" s="9">
        <v>46083</v>
      </c>
      <c r="C12">
        <v>30</v>
      </c>
      <c r="D12">
        <f t="shared" si="0"/>
        <v>164</v>
      </c>
    </row>
    <row r="13" spans="1:4" x14ac:dyDescent="0.3">
      <c r="A13" t="s">
        <v>89</v>
      </c>
      <c r="B13" s="9">
        <v>46113</v>
      </c>
      <c r="C13">
        <v>30</v>
      </c>
      <c r="D13">
        <f t="shared" si="0"/>
        <v>194</v>
      </c>
    </row>
    <row r="14" spans="1:4" x14ac:dyDescent="0.3">
      <c r="A14" t="s">
        <v>90</v>
      </c>
      <c r="B14" s="9">
        <v>46167</v>
      </c>
      <c r="C14">
        <v>45</v>
      </c>
      <c r="D14">
        <f t="shared" si="0"/>
        <v>248</v>
      </c>
    </row>
    <row r="15" spans="1:4" x14ac:dyDescent="0.3">
      <c r="A15" t="s">
        <v>91</v>
      </c>
      <c r="B15" s="9">
        <v>46204</v>
      </c>
      <c r="C15">
        <v>30</v>
      </c>
      <c r="D15">
        <f t="shared" si="0"/>
        <v>285</v>
      </c>
    </row>
    <row r="16" spans="1:4" x14ac:dyDescent="0.3">
      <c r="A16" t="s">
        <v>92</v>
      </c>
      <c r="B16" s="9">
        <v>46235</v>
      </c>
      <c r="C16">
        <v>15</v>
      </c>
      <c r="D16">
        <f t="shared" si="0"/>
        <v>316</v>
      </c>
    </row>
    <row r="17" spans="1:4" x14ac:dyDescent="0.3">
      <c r="A17" t="s">
        <v>93</v>
      </c>
      <c r="B17" s="9">
        <v>46083</v>
      </c>
      <c r="C17">
        <v>150</v>
      </c>
      <c r="D17">
        <f>B17 - MIN($B$4:$B$18)</f>
        <v>164</v>
      </c>
    </row>
    <row r="18" spans="1:4" x14ac:dyDescent="0.3">
      <c r="A18" t="s">
        <v>94</v>
      </c>
      <c r="B18" s="9">
        <v>46251</v>
      </c>
      <c r="C18">
        <v>1</v>
      </c>
      <c r="D18">
        <f t="shared" si="0"/>
        <v>332</v>
      </c>
    </row>
    <row r="19" spans="1:4" x14ac:dyDescent="0.3">
      <c r="A19" t="s">
        <v>106</v>
      </c>
      <c r="B19" s="9">
        <f>B37</f>
        <v>45915</v>
      </c>
      <c r="C19">
        <f>B38-B37</f>
        <v>98</v>
      </c>
      <c r="D19">
        <v>0</v>
      </c>
    </row>
    <row r="20" spans="1:4" x14ac:dyDescent="0.3">
      <c r="A20" t="s">
        <v>107</v>
      </c>
      <c r="B20" s="9">
        <f>B39</f>
        <v>46041</v>
      </c>
      <c r="C20">
        <f>B40-B39</f>
        <v>97</v>
      </c>
      <c r="D20">
        <v>126</v>
      </c>
    </row>
    <row r="21" spans="1:4" x14ac:dyDescent="0.3">
      <c r="A21" t="s">
        <v>108</v>
      </c>
      <c r="B21" s="9">
        <f>B41</f>
        <v>46167</v>
      </c>
      <c r="C21">
        <f>B42-B41</f>
        <v>84</v>
      </c>
      <c r="D21">
        <v>252</v>
      </c>
    </row>
    <row r="36" spans="1:2" x14ac:dyDescent="0.3">
      <c r="A36" t="s">
        <v>97</v>
      </c>
      <c r="B36" s="9" t="s">
        <v>98</v>
      </c>
    </row>
    <row r="37" spans="1:2" x14ac:dyDescent="0.3">
      <c r="A37" t="s">
        <v>99</v>
      </c>
      <c r="B37" s="9">
        <v>45915</v>
      </c>
    </row>
    <row r="38" spans="1:2" x14ac:dyDescent="0.3">
      <c r="A38" t="s">
        <v>102</v>
      </c>
      <c r="B38" s="9">
        <v>46013</v>
      </c>
    </row>
    <row r="39" spans="1:2" x14ac:dyDescent="0.3">
      <c r="A39" t="s">
        <v>100</v>
      </c>
      <c r="B39" s="9">
        <v>46041</v>
      </c>
    </row>
    <row r="40" spans="1:2" x14ac:dyDescent="0.3">
      <c r="A40" t="s">
        <v>103</v>
      </c>
      <c r="B40" s="9">
        <v>46138</v>
      </c>
    </row>
    <row r="41" spans="1:2" x14ac:dyDescent="0.3">
      <c r="A41" t="s">
        <v>101</v>
      </c>
      <c r="B41" s="9">
        <v>46167</v>
      </c>
    </row>
    <row r="42" spans="1:2" x14ac:dyDescent="0.3">
      <c r="A42" t="s">
        <v>104</v>
      </c>
      <c r="B42" s="9">
        <v>46251</v>
      </c>
    </row>
  </sheetData>
  <autoFilter ref="A3:C18" xr:uid="{84F26BBA-7517-48A7-9EEE-B374D4E8189B}"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Nayak</dc:creator>
  <cp:lastModifiedBy>Priyansh Nayak</cp:lastModifiedBy>
  <dcterms:created xsi:type="dcterms:W3CDTF">2025-11-02T18:17:34Z</dcterms:created>
  <dcterms:modified xsi:type="dcterms:W3CDTF">2026-07-26T19:50:37Z</dcterms:modified>
</cp:coreProperties>
</file>